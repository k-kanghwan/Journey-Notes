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ghwan/Downloads/"/>
    </mc:Choice>
  </mc:AlternateContent>
  <xr:revisionPtr revIDLastSave="0" documentId="13_ncr:1_{4A59F1D2-2A80-3D44-AD76-60B44F6F8A2A}" xr6:coauthVersionLast="47" xr6:coauthVersionMax="47" xr10:uidLastSave="{00000000-0000-0000-0000-000000000000}"/>
  <bookViews>
    <workbookView xWindow="0" yWindow="500" windowWidth="25600" windowHeight="21100" xr2:uid="{8031D175-4217-DD4B-841B-462305F832D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1" i="2" l="1"/>
  <c r="G20" i="1"/>
  <c r="G19" i="1"/>
  <c r="D19" i="1"/>
  <c r="B19" i="1"/>
  <c r="D17" i="1"/>
  <c r="B18" i="1" s="1"/>
  <c r="D18" i="1" s="1"/>
  <c r="D11" i="1"/>
  <c r="B12" i="1" s="1"/>
  <c r="D12" i="1" s="1"/>
  <c r="B13" i="1" s="1"/>
  <c r="D13" i="1" s="1"/>
  <c r="B14" i="1" s="1"/>
  <c r="D14" i="1" s="1"/>
  <c r="B15" i="1" s="1"/>
  <c r="D15" i="1" s="1"/>
  <c r="B16" i="1" s="1"/>
  <c r="D16" i="1" s="1"/>
  <c r="G5" i="1"/>
  <c r="D4" i="1"/>
  <c r="B5" i="1" s="1"/>
  <c r="D5" i="1" s="1"/>
  <c r="B6" i="1" s="1"/>
  <c r="D6" i="1" s="1"/>
  <c r="B7" i="1" s="1"/>
  <c r="D7" i="1" s="1"/>
  <c r="B8" i="1" s="1"/>
  <c r="D8" i="1" s="1"/>
  <c r="B9" i="1" s="1"/>
  <c r="D3" i="1"/>
  <c r="G2" i="1"/>
  <c r="D2" i="1"/>
  <c r="D9" i="1" l="1"/>
  <c r="B10" i="1" s="1"/>
  <c r="D10" i="1" s="1"/>
</calcChain>
</file>

<file path=xl/sharedStrings.xml><?xml version="1.0" encoding="utf-8"?>
<sst xmlns="http://schemas.openxmlformats.org/spreadsheetml/2006/main" count="150" uniqueCount="90">
  <si>
    <t>시간 A</t>
  </si>
  <si>
    <t>시간B</t>
  </si>
  <si>
    <t>소요시간</t>
  </si>
  <si>
    <t>요금</t>
  </si>
  <si>
    <t>구분</t>
  </si>
  <si>
    <t>연료비+통행료</t>
  </si>
  <si>
    <t>날짜</t>
  </si>
  <si>
    <t>동피랑 벽화마을</t>
  </si>
  <si>
    <t>내용</t>
  </si>
  <si>
    <t>통영식 하얀비빔밥</t>
  </si>
  <si>
    <t>식비</t>
  </si>
  <si>
    <t>집 -&gt; 산양식당</t>
  </si>
  <si>
    <t>거제식물원</t>
  </si>
  <si>
    <t>입장료</t>
  </si>
  <si>
    <t>시야드 카페</t>
  </si>
  <si>
    <t>카페</t>
  </si>
  <si>
    <t>거제고현시장(순대, 김밥, 만두)</t>
  </si>
  <si>
    <t>숙소 이동</t>
  </si>
  <si>
    <t>연료비</t>
  </si>
  <si>
    <t>저녁식사</t>
  </si>
  <si>
    <t>나영밀작업실</t>
  </si>
  <si>
    <t>바람의언덕
(가는도중 쌤김밥, 바삭꽈배기)</t>
  </si>
  <si>
    <t>노랑버덩FB(바람의언덕 핫도그)</t>
  </si>
  <si>
    <t>미피카페</t>
  </si>
  <si>
    <t>근포땅굴(사진찍기)</t>
  </si>
  <si>
    <t>쌀</t>
  </si>
  <si>
    <t>라면</t>
  </si>
  <si>
    <t>아침식사 및 퇴실</t>
  </si>
  <si>
    <t>매미성</t>
  </si>
  <si>
    <t>우리집으로</t>
  </si>
  <si>
    <t>저녁(미정 -대구탕) 후 숙소이동
청마루대구뽈짐</t>
  </si>
  <si>
    <t>소화제</t>
  </si>
  <si>
    <t>보조베터리</t>
  </si>
  <si>
    <t>충전기</t>
  </si>
  <si>
    <t>&lt;준비물&gt;</t>
  </si>
  <si>
    <t>저녁 장보기(소주, 맥주, 물, 음료, 햇반)</t>
  </si>
  <si>
    <t>시간 B</t>
  </si>
  <si>
    <t>요금(원)</t>
  </si>
  <si>
    <t>오전 8:00</t>
  </si>
  <si>
    <t>+3:00</t>
  </si>
  <si>
    <t>오전 11:00</t>
  </si>
  <si>
    <t>🚗 집 → 산양식당</t>
  </si>
  <si>
    <t>⛽ 연료비 + 통행료</t>
  </si>
  <si>
    <t>+1:00</t>
  </si>
  <si>
    <t>오후 12:00</t>
  </si>
  <si>
    <t>🍚 통영식 하얀비빔밥</t>
  </si>
  <si>
    <t>🍽️ 식비</t>
  </si>
  <si>
    <t>오후 1:00</t>
  </si>
  <si>
    <t>🎨 동피랑 벽화마을</t>
  </si>
  <si>
    <t>🎟️ 입장료</t>
  </si>
  <si>
    <t>+2:00</t>
  </si>
  <si>
    <t>오후 3:00</t>
  </si>
  <si>
    <t>🌿 거제식물원</t>
  </si>
  <si>
    <t>오후 4:00</t>
  </si>
  <si>
    <t>☕ 시야드 카페</t>
  </si>
  <si>
    <t>☕ 카페</t>
  </si>
  <si>
    <t>+1:30</t>
  </si>
  <si>
    <t>오후 5:30</t>
  </si>
  <si>
    <t>🏪 거제고현시장 (순대·김밥·만두)</t>
  </si>
  <si>
    <t>+0:30</t>
  </si>
  <si>
    <t>오후 6:00</t>
  </si>
  <si>
    <t>🛒 저녁 장보기 (술·음료·햇반)</t>
  </si>
  <si>
    <t>오후 6:30</t>
  </si>
  <si>
    <t>🚗 숙소 이동</t>
  </si>
  <si>
    <t>⛽ 연료비</t>
  </si>
  <si>
    <t>+2:30</t>
  </si>
  <si>
    <t>오후 9:00</t>
  </si>
  <si>
    <t>🍲 저녁식사</t>
  </si>
  <si>
    <t>오전 9:45</t>
  </si>
  <si>
    <t>+2:15</t>
  </si>
  <si>
    <t>🍞 나영밀작업실</t>
  </si>
  <si>
    <t>오후 2:00</t>
  </si>
  <si>
    <t>🌬️ 바람의 언덕 (쌤김밥·꽈배기)</t>
  </si>
  <si>
    <t>+0:40</t>
  </si>
  <si>
    <t>오후 2:40</t>
  </si>
  <si>
    <t>🌭 노랑버덩FB (핫도그)</t>
  </si>
  <si>
    <t>+1:20</t>
  </si>
  <si>
    <t>☕ 미피카페</t>
  </si>
  <si>
    <t>오후 5:00</t>
  </si>
  <si>
    <t>📸 근포땅굴 (사진 촬영)</t>
  </si>
  <si>
    <t>+4:00</t>
  </si>
  <si>
    <t>🍲 저녁 (대구탕) 후 숙소 이동</t>
  </si>
  <si>
    <t>오전 10:00</t>
  </si>
  <si>
    <t>🧳 아침식사 및 퇴실</t>
  </si>
  <si>
    <t>🏰 매미성</t>
  </si>
  <si>
    <t>🚗 우리 집으로</t>
  </si>
  <si>
    <t>First Day</t>
  </si>
  <si>
    <t>Second Day</t>
  </si>
  <si>
    <t>- 거제도신대구탕</t>
  </si>
  <si>
    <t>Third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</si>
</sst>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\-mm\-dd;@"/>
    <numFmt numFmtId="167" formatCode="[$-412]AM/PM\ h:mm;@"/>
    <numFmt numFmtId="168" formatCode="\+h:mm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30303"/>
      <name val="Helvetica Neue"/>
      <family val="2"/>
    </font>
    <font>
      <sz val="16"/>
      <color rgb="FF55555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6" fontId="0" fillId="0" borderId="0" xfId="0" applyNumberFormat="1"/>
    <xf numFmtId="167" fontId="0" fillId="0" borderId="0" xfId="0" applyNumberFormat="1"/>
    <xf numFmtId="167" fontId="1" fillId="0" borderId="0" xfId="0" applyNumberFormat="1" applyFont="1"/>
    <xf numFmtId="0" fontId="1" fillId="0" borderId="0" xfId="0" applyFont="1"/>
    <xf numFmtId="166" fontId="1" fillId="0" borderId="0" xfId="0" applyNumberFormat="1" applyFont="1"/>
    <xf numFmtId="168" fontId="1" fillId="0" borderId="0" xfId="0" applyNumberFormat="1" applyFont="1"/>
    <xf numFmtId="168" fontId="0" fillId="0" borderId="0" xfId="0" applyNumberFormat="1"/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1420-8550-9546-946F-08C67EC87607}">
  <dimension ref="A1:G27"/>
  <sheetViews>
    <sheetView tabSelected="1" zoomScale="158" workbookViewId="0">
      <selection activeCell="F12" sqref="F12"/>
    </sheetView>
  </sheetViews>
  <sheetFormatPr baseColWidth="10" defaultRowHeight="16" x14ac:dyDescent="0.2"/>
  <cols>
    <col min="1" max="1" width="15" style="1" customWidth="1"/>
    <col min="2" max="2" width="10.83203125" style="2"/>
    <col min="3" max="3" width="10.83203125" style="7"/>
    <col min="4" max="4" width="10.83203125" style="2"/>
    <col min="5" max="5" width="35.6640625" bestFit="1" customWidth="1"/>
    <col min="6" max="6" width="18.33203125" customWidth="1"/>
    <col min="7" max="7" width="11.6640625" style="9" customWidth="1"/>
  </cols>
  <sheetData>
    <row r="1" spans="1:7" x14ac:dyDescent="0.2">
      <c r="A1" s="5" t="s">
        <v>6</v>
      </c>
      <c r="B1" s="3" t="s">
        <v>0</v>
      </c>
      <c r="C1" s="6" t="s">
        <v>2</v>
      </c>
      <c r="D1" s="3" t="s">
        <v>1</v>
      </c>
      <c r="E1" s="4" t="s">
        <v>8</v>
      </c>
      <c r="F1" s="4" t="s">
        <v>4</v>
      </c>
      <c r="G1" s="8" t="s">
        <v>3</v>
      </c>
    </row>
    <row r="2" spans="1:7" x14ac:dyDescent="0.2">
      <c r="A2" s="1">
        <v>46017</v>
      </c>
      <c r="B2" s="2">
        <v>0.33333333333333331</v>
      </c>
      <c r="C2" s="7">
        <v>0.125</v>
      </c>
      <c r="D2" s="2">
        <f>B2+C2</f>
        <v>0.45833333333333331</v>
      </c>
      <c r="E2" t="s">
        <v>11</v>
      </c>
      <c r="F2" t="s">
        <v>5</v>
      </c>
      <c r="G2" s="9">
        <f>11100+35618</f>
        <v>46718</v>
      </c>
    </row>
    <row r="3" spans="1:7" x14ac:dyDescent="0.2">
      <c r="A3" s="1">
        <v>46017</v>
      </c>
      <c r="B3" s="2">
        <v>0.45833333333333331</v>
      </c>
      <c r="C3" s="7">
        <v>4.1666666666666664E-2</v>
      </c>
      <c r="D3" s="2">
        <f>B3+C3</f>
        <v>0.5</v>
      </c>
      <c r="E3" t="s">
        <v>9</v>
      </c>
      <c r="F3" t="s">
        <v>10</v>
      </c>
      <c r="G3" s="9">
        <v>30000</v>
      </c>
    </row>
    <row r="4" spans="1:7" x14ac:dyDescent="0.2">
      <c r="A4" s="1">
        <v>46017</v>
      </c>
      <c r="B4" s="2">
        <v>0.5</v>
      </c>
      <c r="C4" s="7">
        <v>4.1666666666666664E-2</v>
      </c>
      <c r="D4" s="2">
        <f>B4+C4</f>
        <v>0.54166666666666663</v>
      </c>
      <c r="E4" t="s">
        <v>7</v>
      </c>
      <c r="F4" t="s">
        <v>13</v>
      </c>
      <c r="G4" s="9">
        <v>0</v>
      </c>
    </row>
    <row r="5" spans="1:7" x14ac:dyDescent="0.2">
      <c r="A5" s="1">
        <v>46017</v>
      </c>
      <c r="B5" s="2">
        <f>D4</f>
        <v>0.54166666666666663</v>
      </c>
      <c r="C5" s="7">
        <v>8.3333333333333329E-2</v>
      </c>
      <c r="D5" s="2">
        <f>B5+C5</f>
        <v>0.625</v>
      </c>
      <c r="E5" t="s">
        <v>12</v>
      </c>
      <c r="F5" t="s">
        <v>13</v>
      </c>
      <c r="G5" s="9">
        <f>5000*2</f>
        <v>10000</v>
      </c>
    </row>
    <row r="6" spans="1:7" x14ac:dyDescent="0.2">
      <c r="A6" s="1">
        <v>46017</v>
      </c>
      <c r="B6" s="2">
        <f>D5</f>
        <v>0.625</v>
      </c>
      <c r="C6" s="7">
        <v>4.1666666666666664E-2</v>
      </c>
      <c r="D6" s="2">
        <f>B6+C6</f>
        <v>0.66666666666666663</v>
      </c>
      <c r="E6" t="s">
        <v>14</v>
      </c>
      <c r="F6" t="s">
        <v>15</v>
      </c>
      <c r="G6" s="9">
        <v>25000</v>
      </c>
    </row>
    <row r="7" spans="1:7" x14ac:dyDescent="0.2">
      <c r="A7" s="1">
        <v>46017</v>
      </c>
      <c r="B7" s="2">
        <f>D6</f>
        <v>0.66666666666666663</v>
      </c>
      <c r="C7" s="7">
        <v>6.25E-2</v>
      </c>
      <c r="D7" s="2">
        <f>B7+C7</f>
        <v>0.72916666666666663</v>
      </c>
      <c r="E7" t="s">
        <v>16</v>
      </c>
      <c r="F7" t="s">
        <v>10</v>
      </c>
      <c r="G7" s="9">
        <v>20000</v>
      </c>
    </row>
    <row r="8" spans="1:7" x14ac:dyDescent="0.2">
      <c r="A8" s="1">
        <v>46017</v>
      </c>
      <c r="B8" s="2">
        <f>D7</f>
        <v>0.72916666666666663</v>
      </c>
      <c r="C8" s="7">
        <v>2.0833333333333332E-2</v>
      </c>
      <c r="D8" s="2">
        <f>B8+C8</f>
        <v>0.75</v>
      </c>
      <c r="E8" t="s">
        <v>35</v>
      </c>
      <c r="F8" t="s">
        <v>10</v>
      </c>
      <c r="G8" s="9">
        <v>15000</v>
      </c>
    </row>
    <row r="9" spans="1:7" x14ac:dyDescent="0.2">
      <c r="A9" s="1">
        <v>46017</v>
      </c>
      <c r="B9" s="2">
        <f>D8</f>
        <v>0.75</v>
      </c>
      <c r="C9" s="7">
        <v>2.0833333333333332E-2</v>
      </c>
      <c r="D9" s="2">
        <f>B9+C9</f>
        <v>0.77083333333333337</v>
      </c>
      <c r="E9" t="s">
        <v>17</v>
      </c>
      <c r="F9" t="s">
        <v>18</v>
      </c>
      <c r="G9" s="9">
        <v>0</v>
      </c>
    </row>
    <row r="10" spans="1:7" x14ac:dyDescent="0.2">
      <c r="A10" s="1">
        <v>46017</v>
      </c>
      <c r="B10" s="2">
        <f>D9</f>
        <v>0.77083333333333337</v>
      </c>
      <c r="C10" s="7">
        <v>0.10416666666666667</v>
      </c>
      <c r="D10" s="2">
        <f>B10+C10</f>
        <v>0.875</v>
      </c>
      <c r="E10" t="s">
        <v>19</v>
      </c>
      <c r="F10" t="s">
        <v>10</v>
      </c>
      <c r="G10" s="9">
        <v>0</v>
      </c>
    </row>
    <row r="11" spans="1:7" x14ac:dyDescent="0.2">
      <c r="A11" s="1">
        <v>46018</v>
      </c>
      <c r="B11" s="2">
        <v>0.40625</v>
      </c>
      <c r="C11" s="7">
        <v>9.375E-2</v>
      </c>
      <c r="D11" s="2">
        <f>B11+C11</f>
        <v>0.5</v>
      </c>
      <c r="E11" t="s">
        <v>20</v>
      </c>
      <c r="F11" t="s">
        <v>10</v>
      </c>
      <c r="G11" s="9">
        <v>40000</v>
      </c>
    </row>
    <row r="12" spans="1:7" ht="34" x14ac:dyDescent="0.2">
      <c r="A12" s="1">
        <v>46018</v>
      </c>
      <c r="B12" s="2">
        <f>D11</f>
        <v>0.5</v>
      </c>
      <c r="C12" s="7">
        <v>8.3333333333333329E-2</v>
      </c>
      <c r="D12" s="2">
        <f>B12+C12</f>
        <v>0.58333333333333337</v>
      </c>
      <c r="E12" s="10" t="s">
        <v>21</v>
      </c>
      <c r="F12" t="s">
        <v>10</v>
      </c>
      <c r="G12" s="9">
        <v>7000</v>
      </c>
    </row>
    <row r="13" spans="1:7" ht="17" x14ac:dyDescent="0.2">
      <c r="A13" s="1">
        <v>46018</v>
      </c>
      <c r="B13" s="2">
        <f>D12</f>
        <v>0.58333333333333337</v>
      </c>
      <c r="C13" s="7">
        <v>2.7777777777777776E-2</v>
      </c>
      <c r="D13" s="2">
        <f>B13+C13</f>
        <v>0.61111111111111116</v>
      </c>
      <c r="E13" s="10" t="s">
        <v>22</v>
      </c>
      <c r="F13" t="s">
        <v>10</v>
      </c>
      <c r="G13" s="9">
        <v>7000</v>
      </c>
    </row>
    <row r="14" spans="1:7" ht="17" x14ac:dyDescent="0.2">
      <c r="A14" s="1">
        <v>46018</v>
      </c>
      <c r="B14" s="2">
        <f>D13</f>
        <v>0.61111111111111116</v>
      </c>
      <c r="C14" s="7">
        <v>5.5555555555555552E-2</v>
      </c>
      <c r="D14" s="2">
        <f>B14+C14</f>
        <v>0.66666666666666674</v>
      </c>
      <c r="E14" s="10" t="s">
        <v>23</v>
      </c>
      <c r="F14" t="s">
        <v>10</v>
      </c>
      <c r="G14" s="9">
        <v>20000</v>
      </c>
    </row>
    <row r="15" spans="1:7" ht="17" x14ac:dyDescent="0.2">
      <c r="A15" s="1">
        <v>46018</v>
      </c>
      <c r="B15" s="2">
        <f>D14</f>
        <v>0.66666666666666674</v>
      </c>
      <c r="C15" s="7">
        <v>4.1666666666666664E-2</v>
      </c>
      <c r="D15" s="2">
        <f>B15+C15</f>
        <v>0.70833333333333337</v>
      </c>
      <c r="E15" s="10" t="s">
        <v>24</v>
      </c>
      <c r="F15" t="s">
        <v>18</v>
      </c>
      <c r="G15" s="9">
        <v>0</v>
      </c>
    </row>
    <row r="16" spans="1:7" ht="34" x14ac:dyDescent="0.2">
      <c r="A16" s="1">
        <v>46018</v>
      </c>
      <c r="B16" s="2">
        <f>D15</f>
        <v>0.70833333333333337</v>
      </c>
      <c r="C16" s="7">
        <v>0.16666666666666666</v>
      </c>
      <c r="D16" s="2">
        <f>B16+C16</f>
        <v>0.875</v>
      </c>
      <c r="E16" s="10" t="s">
        <v>30</v>
      </c>
      <c r="F16" t="s">
        <v>10</v>
      </c>
      <c r="G16" s="9">
        <v>45000</v>
      </c>
    </row>
    <row r="17" spans="1:7" ht="17" x14ac:dyDescent="0.2">
      <c r="A17" s="1">
        <v>46019</v>
      </c>
      <c r="B17" s="2">
        <v>0.33333333333333331</v>
      </c>
      <c r="C17" s="7">
        <v>8.3333333333333329E-2</v>
      </c>
      <c r="D17" s="2">
        <f>B17+C17</f>
        <v>0.41666666666666663</v>
      </c>
      <c r="E17" s="10" t="s">
        <v>27</v>
      </c>
      <c r="F17" t="s">
        <v>10</v>
      </c>
      <c r="G17" s="9">
        <v>0</v>
      </c>
    </row>
    <row r="18" spans="1:7" ht="17" x14ac:dyDescent="0.2">
      <c r="A18" s="1">
        <v>46019</v>
      </c>
      <c r="B18" s="2">
        <f>D17</f>
        <v>0.41666666666666663</v>
      </c>
      <c r="C18" s="7">
        <v>8.3333333333333329E-2</v>
      </c>
      <c r="D18" s="2">
        <f>B18+C18</f>
        <v>0.49999999999999994</v>
      </c>
      <c r="E18" s="10" t="s">
        <v>28</v>
      </c>
      <c r="F18" t="s">
        <v>18</v>
      </c>
      <c r="G18" s="9">
        <v>0</v>
      </c>
    </row>
    <row r="19" spans="1:7" ht="17" x14ac:dyDescent="0.2">
      <c r="A19" s="1">
        <v>46019</v>
      </c>
      <c r="B19" s="2">
        <f>D18</f>
        <v>0.49999999999999994</v>
      </c>
      <c r="C19" s="7">
        <v>0.16666666666666666</v>
      </c>
      <c r="D19" s="2">
        <f>B19+C19</f>
        <v>0.66666666666666663</v>
      </c>
      <c r="E19" s="10" t="s">
        <v>29</v>
      </c>
      <c r="F19" t="s">
        <v>5</v>
      </c>
      <c r="G19" s="9">
        <f>11100+35618</f>
        <v>46718</v>
      </c>
    </row>
    <row r="20" spans="1:7" x14ac:dyDescent="0.2">
      <c r="G20" s="8">
        <f>SUM(G2:G19)</f>
        <v>312436</v>
      </c>
    </row>
    <row r="22" spans="1:7" x14ac:dyDescent="0.2">
      <c r="A22" s="1" t="s">
        <v>34</v>
      </c>
    </row>
    <row r="23" spans="1:7" x14ac:dyDescent="0.2">
      <c r="A23" s="1" t="s">
        <v>25</v>
      </c>
    </row>
    <row r="24" spans="1:7" x14ac:dyDescent="0.2">
      <c r="A24" s="2" t="s">
        <v>26</v>
      </c>
    </row>
    <row r="25" spans="1:7" x14ac:dyDescent="0.2">
      <c r="A25" s="1" t="s">
        <v>31</v>
      </c>
    </row>
    <row r="26" spans="1:7" x14ac:dyDescent="0.2">
      <c r="A26" s="1" t="s">
        <v>32</v>
      </c>
    </row>
    <row r="27" spans="1:7" x14ac:dyDescent="0.2">
      <c r="A27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DCAE-B5A4-7B4E-8E3D-3F0A177110A0}">
  <dimension ref="A1:G21"/>
  <sheetViews>
    <sheetView workbookViewId="0">
      <selection activeCell="H23" sqref="H23"/>
    </sheetView>
  </sheetViews>
  <sheetFormatPr baseColWidth="10" defaultRowHeight="16" x14ac:dyDescent="0.2"/>
  <cols>
    <col min="1" max="1" width="16" bestFit="1" customWidth="1"/>
    <col min="2" max="2" width="14.1640625" bestFit="1" customWidth="1"/>
    <col min="3" max="3" width="12.1640625" bestFit="1" customWidth="1"/>
    <col min="4" max="4" width="14.1640625" bestFit="1" customWidth="1"/>
    <col min="5" max="5" width="41.83203125" bestFit="1" customWidth="1"/>
    <col min="6" max="6" width="25" bestFit="1" customWidth="1"/>
  </cols>
  <sheetData>
    <row r="1" spans="1:7" ht="20" x14ac:dyDescent="0.2">
      <c r="A1" s="11" t="s">
        <v>6</v>
      </c>
      <c r="B1" s="11" t="s">
        <v>0</v>
      </c>
      <c r="C1" s="11" t="s">
        <v>2</v>
      </c>
      <c r="D1" s="11" t="s">
        <v>36</v>
      </c>
      <c r="E1" s="11" t="s">
        <v>8</v>
      </c>
      <c r="F1" s="11" t="s">
        <v>4</v>
      </c>
      <c r="G1" s="11" t="s">
        <v>37</v>
      </c>
    </row>
    <row r="2" spans="1:7" ht="20" x14ac:dyDescent="0.2">
      <c r="A2" s="12" t="s">
        <v>86</v>
      </c>
      <c r="B2" s="12" t="s">
        <v>38</v>
      </c>
      <c r="C2" s="12" t="s">
        <v>39</v>
      </c>
      <c r="D2" s="12" t="s">
        <v>40</v>
      </c>
      <c r="E2" s="12" t="s">
        <v>41</v>
      </c>
      <c r="F2" s="12" t="s">
        <v>42</v>
      </c>
      <c r="G2" s="13">
        <v>46718</v>
      </c>
    </row>
    <row r="3" spans="1:7" ht="20" x14ac:dyDescent="0.2">
      <c r="A3" s="12"/>
      <c r="B3" s="12" t="s">
        <v>40</v>
      </c>
      <c r="C3" s="12" t="s">
        <v>43</v>
      </c>
      <c r="D3" s="12" t="s">
        <v>44</v>
      </c>
      <c r="E3" s="12" t="s">
        <v>45</v>
      </c>
      <c r="F3" s="12" t="s">
        <v>46</v>
      </c>
      <c r="G3" s="13">
        <v>30000</v>
      </c>
    </row>
    <row r="4" spans="1:7" ht="20" x14ac:dyDescent="0.2">
      <c r="A4" s="12"/>
      <c r="B4" s="12" t="s">
        <v>44</v>
      </c>
      <c r="C4" s="12" t="s">
        <v>43</v>
      </c>
      <c r="D4" s="12" t="s">
        <v>47</v>
      </c>
      <c r="E4" s="12" t="s">
        <v>48</v>
      </c>
      <c r="F4" s="12" t="s">
        <v>49</v>
      </c>
      <c r="G4" s="12">
        <v>0</v>
      </c>
    </row>
    <row r="5" spans="1:7" ht="20" x14ac:dyDescent="0.2">
      <c r="A5" s="12"/>
      <c r="B5" s="12" t="s">
        <v>47</v>
      </c>
      <c r="C5" s="12" t="s">
        <v>50</v>
      </c>
      <c r="D5" s="12" t="s">
        <v>51</v>
      </c>
      <c r="E5" s="12" t="s">
        <v>52</v>
      </c>
      <c r="F5" s="12" t="s">
        <v>49</v>
      </c>
      <c r="G5" s="13">
        <v>10000</v>
      </c>
    </row>
    <row r="6" spans="1:7" ht="20" x14ac:dyDescent="0.2">
      <c r="A6" s="12"/>
      <c r="B6" s="12" t="s">
        <v>51</v>
      </c>
      <c r="C6" s="12" t="s">
        <v>43</v>
      </c>
      <c r="D6" s="12" t="s">
        <v>53</v>
      </c>
      <c r="E6" s="12" t="s">
        <v>54</v>
      </c>
      <c r="F6" s="12" t="s">
        <v>55</v>
      </c>
      <c r="G6" s="13">
        <v>25000</v>
      </c>
    </row>
    <row r="7" spans="1:7" ht="20" x14ac:dyDescent="0.2">
      <c r="A7" s="12"/>
      <c r="B7" s="12" t="s">
        <v>53</v>
      </c>
      <c r="C7" s="12" t="s">
        <v>56</v>
      </c>
      <c r="D7" s="12" t="s">
        <v>57</v>
      </c>
      <c r="E7" s="12" t="s">
        <v>58</v>
      </c>
      <c r="F7" s="12" t="s">
        <v>46</v>
      </c>
      <c r="G7" s="13">
        <v>20000</v>
      </c>
    </row>
    <row r="8" spans="1:7" ht="20" x14ac:dyDescent="0.2">
      <c r="A8" s="12"/>
      <c r="B8" s="12" t="s">
        <v>57</v>
      </c>
      <c r="C8" s="12" t="s">
        <v>59</v>
      </c>
      <c r="D8" s="12" t="s">
        <v>60</v>
      </c>
      <c r="E8" s="12" t="s">
        <v>61</v>
      </c>
      <c r="F8" s="12" t="s">
        <v>46</v>
      </c>
      <c r="G8" s="13">
        <v>15000</v>
      </c>
    </row>
    <row r="9" spans="1:7" ht="20" x14ac:dyDescent="0.2">
      <c r="A9" s="12"/>
      <c r="B9" s="12" t="s">
        <v>60</v>
      </c>
      <c r="C9" s="12" t="s">
        <v>59</v>
      </c>
      <c r="D9" s="12" t="s">
        <v>62</v>
      </c>
      <c r="E9" s="12" t="s">
        <v>63</v>
      </c>
      <c r="F9" s="12" t="s">
        <v>64</v>
      </c>
      <c r="G9" s="12">
        <v>0</v>
      </c>
    </row>
    <row r="10" spans="1:7" ht="20" x14ac:dyDescent="0.2">
      <c r="A10" s="12"/>
      <c r="B10" s="12" t="s">
        <v>62</v>
      </c>
      <c r="C10" s="12" t="s">
        <v>65</v>
      </c>
      <c r="D10" s="12" t="s">
        <v>66</v>
      </c>
      <c r="E10" s="12" t="s">
        <v>67</v>
      </c>
      <c r="F10" s="12" t="s">
        <v>46</v>
      </c>
      <c r="G10" s="12">
        <v>0</v>
      </c>
    </row>
    <row r="11" spans="1:7" ht="20" x14ac:dyDescent="0.2">
      <c r="A11" s="12" t="s">
        <v>87</v>
      </c>
      <c r="B11" s="12" t="s">
        <v>68</v>
      </c>
      <c r="C11" s="12" t="s">
        <v>69</v>
      </c>
      <c r="D11" s="12" t="s">
        <v>44</v>
      </c>
      <c r="E11" s="12" t="s">
        <v>70</v>
      </c>
      <c r="F11" s="12" t="s">
        <v>46</v>
      </c>
      <c r="G11" s="13">
        <v>40000</v>
      </c>
    </row>
    <row r="12" spans="1:7" ht="20" x14ac:dyDescent="0.2">
      <c r="A12" s="12"/>
      <c r="B12" s="12" t="s">
        <v>44</v>
      </c>
      <c r="C12" s="12" t="s">
        <v>50</v>
      </c>
      <c r="D12" s="12" t="s">
        <v>71</v>
      </c>
      <c r="E12" s="12" t="s">
        <v>72</v>
      </c>
      <c r="F12" s="12" t="s">
        <v>46</v>
      </c>
      <c r="G12" s="13">
        <v>7000</v>
      </c>
    </row>
    <row r="13" spans="1:7" ht="20" x14ac:dyDescent="0.2">
      <c r="A13" s="12"/>
      <c r="B13" s="12" t="s">
        <v>71</v>
      </c>
      <c r="C13" s="12" t="s">
        <v>73</v>
      </c>
      <c r="D13" s="12" t="s">
        <v>74</v>
      </c>
      <c r="E13" s="12" t="s">
        <v>75</v>
      </c>
      <c r="F13" s="12" t="s">
        <v>46</v>
      </c>
      <c r="G13" s="13">
        <v>7000</v>
      </c>
    </row>
    <row r="14" spans="1:7" ht="20" x14ac:dyDescent="0.2">
      <c r="A14" s="12"/>
      <c r="B14" s="12" t="s">
        <v>74</v>
      </c>
      <c r="C14" s="12" t="s">
        <v>76</v>
      </c>
      <c r="D14" s="12" t="s">
        <v>53</v>
      </c>
      <c r="E14" s="12" t="s">
        <v>77</v>
      </c>
      <c r="F14" s="12" t="s">
        <v>46</v>
      </c>
      <c r="G14" s="13">
        <v>20000</v>
      </c>
    </row>
    <row r="15" spans="1:7" ht="20" x14ac:dyDescent="0.2">
      <c r="A15" s="12"/>
      <c r="B15" s="12" t="s">
        <v>53</v>
      </c>
      <c r="C15" s="12" t="s">
        <v>43</v>
      </c>
      <c r="D15" s="12" t="s">
        <v>78</v>
      </c>
      <c r="E15" s="12" t="s">
        <v>79</v>
      </c>
      <c r="F15" s="12" t="s">
        <v>64</v>
      </c>
      <c r="G15" s="12">
        <v>0</v>
      </c>
    </row>
    <row r="16" spans="1:7" ht="20" x14ac:dyDescent="0.2">
      <c r="A16" s="14"/>
      <c r="B16" s="14" t="s">
        <v>78</v>
      </c>
      <c r="C16" s="14" t="s">
        <v>80</v>
      </c>
      <c r="D16" s="14" t="s">
        <v>66</v>
      </c>
      <c r="E16" s="12" t="s">
        <v>81</v>
      </c>
      <c r="F16" s="14" t="s">
        <v>46</v>
      </c>
      <c r="G16" s="15">
        <v>45000</v>
      </c>
    </row>
    <row r="17" spans="1:7" ht="20" x14ac:dyDescent="0.2">
      <c r="A17" s="14"/>
      <c r="B17" s="14"/>
      <c r="C17" s="14"/>
      <c r="D17" s="14"/>
      <c r="E17" s="12" t="s">
        <v>88</v>
      </c>
      <c r="F17" s="14"/>
      <c r="G17" s="15"/>
    </row>
    <row r="18" spans="1:7" ht="20" x14ac:dyDescent="0.2">
      <c r="A18" s="12" t="s">
        <v>89</v>
      </c>
      <c r="B18" s="12" t="s">
        <v>38</v>
      </c>
      <c r="C18" s="12" t="s">
        <v>50</v>
      </c>
      <c r="D18" s="12" t="s">
        <v>82</v>
      </c>
      <c r="E18" s="12" t="s">
        <v>83</v>
      </c>
      <c r="F18" s="12" t="s">
        <v>46</v>
      </c>
      <c r="G18" s="12">
        <v>0</v>
      </c>
    </row>
    <row r="19" spans="1:7" ht="20" x14ac:dyDescent="0.2">
      <c r="A19" s="12"/>
      <c r="B19" s="12" t="s">
        <v>82</v>
      </c>
      <c r="C19" s="12" t="s">
        <v>50</v>
      </c>
      <c r="D19" s="12" t="s">
        <v>44</v>
      </c>
      <c r="E19" s="12" t="s">
        <v>84</v>
      </c>
      <c r="F19" s="12" t="s">
        <v>64</v>
      </c>
      <c r="G19" s="12">
        <v>0</v>
      </c>
    </row>
    <row r="20" spans="1:7" ht="20" x14ac:dyDescent="0.2">
      <c r="A20" s="12"/>
      <c r="B20" s="12" t="s">
        <v>44</v>
      </c>
      <c r="C20" s="12" t="s">
        <v>80</v>
      </c>
      <c r="D20" s="12" t="s">
        <v>53</v>
      </c>
      <c r="E20" s="12" t="s">
        <v>85</v>
      </c>
      <c r="F20" s="12" t="s">
        <v>42</v>
      </c>
      <c r="G20" s="13">
        <v>46718</v>
      </c>
    </row>
    <row r="21" spans="1:7" x14ac:dyDescent="0.2">
      <c r="G21" s="9">
        <f>SUM(G2:G20)</f>
        <v>312436</v>
      </c>
    </row>
  </sheetData>
  <mergeCells count="6">
    <mergeCell ref="A16:A17"/>
    <mergeCell ref="B16:B17"/>
    <mergeCell ref="C16:C17"/>
    <mergeCell ref="D16:D17"/>
    <mergeCell ref="F16:F17"/>
    <mergeCell ref="G16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2025-12-21T11:05:47Z</dcterms:created>
  <dcterms:modified xsi:type="dcterms:W3CDTF">2025-12-21T13:11:23Z</dcterms:modified>
</cp:coreProperties>
</file>